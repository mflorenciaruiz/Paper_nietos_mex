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lance_summary_11" sheetId="1" state="visible" r:id="rId3"/>
    <sheet name="balance_summary_12_g1" sheetId="2" state="visible" r:id="rId4"/>
    <sheet name="balance_summary_12_g2" sheetId="3" state="visible" r:id="rId5"/>
    <sheet name="balance_summary_12_g3" sheetId="4" state="visible" r:id="rId6"/>
    <sheet name="balance_summary_13_early" sheetId="5" state="visible" r:id="rId7"/>
    <sheet name="balance_summary_13_late" sheetId="6" state="visible" r:id="rId8"/>
    <sheet name="weights_summary_11" sheetId="7" state="visible" r:id="rId9"/>
    <sheet name="weights_summary_12" sheetId="8" state="visible" r:id="rId10"/>
    <sheet name="weights_summary_13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<sst xmlns="http://schemas.openxmlformats.org/spreadsheetml/2006/main" count="241" uniqueCount="44">
  <si>
    <t xml:space="preserve">EB Pre-balance — Strategy 11 (Any Presence vs. None)</t>
  </si>
  <si>
    <t xml:space="preserve">Group 0</t>
  </si>
  <si>
    <t xml:space="preserve">Group 1</t>
  </si>
  <si>
    <t xml:space="preserve">Total</t>
  </si>
  <si>
    <t xml:space="preserve">Mean</t>
  </si>
  <si>
    <t xml:space="preserve">Variance</t>
  </si>
  <si>
    <t xml:space="preserve">Remittances (pre-average)</t>
  </si>
  <si>
    <t xml:space="preserve">Log remittances (pre-average)</t>
  </si>
  <si>
    <t xml:space="preserve">U.S. migrants (2000, %)</t>
  </si>
  <si>
    <t xml:space="preserve">U.S. migrants (2010, %)</t>
  </si>
  <si>
    <t xml:space="preserve">MI (2000)</t>
  </si>
  <si>
    <t xml:space="preserve">MI (2010)</t>
  </si>
  <si>
    <t xml:space="preserve">Log population (2010)</t>
  </si>
  <si>
    <t xml:space="preserve">Log density</t>
  </si>
  <si>
    <t xml:space="preserve">PEA (%)</t>
  </si>
  <si>
    <t xml:space="preserve">redondedo</t>
  </si>
  <si>
    <t xml:space="preserve">log_densidad</t>
  </si>
  <si>
    <t xml:space="preserve">EB Pre-balance — Strategy 12, Group 1 (Early-only vs. Never)</t>
  </si>
  <si>
    <t xml:space="preserve">EB Pre-balance — Strategy 12, Group 2 (Late-only vs. Never)</t>
  </si>
  <si>
    <t xml:space="preserve">EB Pre-balance — Strategy 12, Group 3 (Both vs. Never)</t>
  </si>
  <si>
    <t xml:space="preserve">EB Pre-balance — Strategy 13 (Early-any vs. Never)</t>
  </si>
  <si>
    <t xml:space="preserve">EB Pre-balance — Strategy 13 (Late-only vs. Never)</t>
  </si>
  <si>
    <t xml:space="preserve">EB Weights — Strategy 11 (Any Presence vs. None)</t>
  </si>
  <si>
    <t xml:space="preserve">Min</t>
  </si>
  <si>
    <t xml:space="preserve">Max</t>
  </si>
  <si>
    <t xml:space="preserve">p1</t>
  </si>
  <si>
    <t xml:space="preserve">p5</t>
  </si>
  <si>
    <t xml:space="preserve">p10</t>
  </si>
  <si>
    <t xml:space="preserve">p50</t>
  </si>
  <si>
    <t xml:space="preserve">p90</t>
  </si>
  <si>
    <t xml:space="preserve">p95</t>
  </si>
  <si>
    <t xml:space="preserve">p99</t>
  </si>
  <si>
    <t xml:space="preserve">w1_1</t>
  </si>
  <si>
    <t xml:space="preserve">w1_2</t>
  </si>
  <si>
    <t xml:space="preserve">w1_3</t>
  </si>
  <si>
    <t xml:space="preserve">w1_4</t>
  </si>
  <si>
    <t xml:space="preserve">redondeado</t>
  </si>
  <si>
    <t xml:space="preserve">EB Weights — Strategy 12 (Cohort &amp; Window, 4 groups)</t>
  </si>
  <si>
    <t xml:space="preserve">w2_1</t>
  </si>
  <si>
    <t xml:space="preserve">EB Weights — Strategy 13 (Cohort &amp; Window, 3 groups)</t>
  </si>
  <si>
    <t xml:space="preserve">w3_1</t>
  </si>
  <si>
    <t xml:space="preserve">w3_2</t>
  </si>
  <si>
    <t xml:space="preserve">w3_3</t>
  </si>
  <si>
    <t xml:space="preserve">w3_4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</si>
</sst>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0"/>
    <numFmt numFmtId="166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7" activeCellId="0" sqref="B7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198.6452</v>
      </c>
      <c r="E5" s="4" t="n">
        <v>65135.09</v>
      </c>
      <c r="F5" s="4" t="n">
        <v>14.19895</v>
      </c>
      <c r="G5" s="4" t="n">
        <v>2017.283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4.631795</v>
      </c>
      <c r="E6" s="4" t="n">
        <v>1.543501</v>
      </c>
      <c r="F6" s="4" t="n">
        <v>1.298792</v>
      </c>
      <c r="G6" s="4" t="n">
        <v>2.199851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3.377419</v>
      </c>
      <c r="E7" s="4" t="n">
        <v>6.443542</v>
      </c>
      <c r="F7" s="4" t="n">
        <v>6.438962</v>
      </c>
      <c r="G7" s="4" t="n">
        <v>47.55391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1.243802</v>
      </c>
      <c r="E8" s="4" t="n">
        <v>0.9060943</v>
      </c>
      <c r="F8" s="4" t="n">
        <v>3.883034</v>
      </c>
      <c r="G8" s="4" t="n">
        <v>17.24208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-1.405787</v>
      </c>
      <c r="E9" s="4" t="n">
        <v>0.3939119</v>
      </c>
      <c r="F9" s="4" t="n">
        <v>0.0198938</v>
      </c>
      <c r="G9" s="4" t="n">
        <v>0.9679755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-1.386379</v>
      </c>
      <c r="E10" s="4" t="n">
        <v>0.304744</v>
      </c>
      <c r="F10" s="4" t="n">
        <v>0.0192102</v>
      </c>
      <c r="G10" s="4" t="n">
        <v>0.9658896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12.95203</v>
      </c>
      <c r="E11" s="4" t="n">
        <v>1.552184</v>
      </c>
      <c r="F11" s="4" t="n">
        <v>9.389189</v>
      </c>
      <c r="G11" s="4" t="n">
        <v>2.444684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6.248114</v>
      </c>
      <c r="E12" s="4" t="n">
        <v>3.698352</v>
      </c>
      <c r="F12" s="4" t="n">
        <v>3.954667</v>
      </c>
      <c r="G12" s="4" t="n">
        <v>2.824366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56.75269</v>
      </c>
      <c r="E13" s="4" t="n">
        <v>5.04086</v>
      </c>
      <c r="F13" s="4" t="n">
        <v>47.84116</v>
      </c>
      <c r="G13" s="4" t="n">
        <v>73.22679</v>
      </c>
    </row>
    <row r="16" customFormat="false" ht="15" hidden="false" customHeight="false" outlineLevel="0" collapsed="false">
      <c r="A16" s="2"/>
      <c r="B16" s="2" t="s">
        <v>1</v>
      </c>
      <c r="C16" s="2"/>
      <c r="D16" s="2" t="s">
        <v>2</v>
      </c>
      <c r="E16" s="2"/>
      <c r="F16" s="2" t="s">
        <v>3</v>
      </c>
      <c r="G16" s="2"/>
    </row>
    <row r="17" customFormat="false" ht="15" hidden="false" customHeight="false" outlineLevel="0" collapsed="false">
      <c r="A17" s="2"/>
      <c r="B17" s="2" t="s">
        <v>4</v>
      </c>
      <c r="C17" s="2" t="s">
        <v>5</v>
      </c>
      <c r="D17" s="2" t="s">
        <v>4</v>
      </c>
      <c r="E17" s="2" t="s">
        <v>5</v>
      </c>
      <c r="F17" s="2" t="s">
        <v>4</v>
      </c>
      <c r="G17" s="2" t="s">
        <v>5</v>
      </c>
      <c r="I17" s="4" t="s">
        <v>15</v>
      </c>
    </row>
    <row r="18" customFormat="false" ht="15" hidden="false" customHeight="false" outlineLevel="0" collapsed="false">
      <c r="A18" s="3" t="s">
        <v>6</v>
      </c>
      <c r="B18" s="5" t="n">
        <f aca="false">+ROUND(B5,3)</f>
        <v>12.03</v>
      </c>
      <c r="C18" s="5" t="n">
        <f aca="false">+ROUND(C5,3)</f>
        <v>898.155</v>
      </c>
      <c r="D18" s="5" t="n">
        <f aca="false">+ROUND(D5,3)</f>
        <v>198.645</v>
      </c>
      <c r="E18" s="5" t="n">
        <f aca="false">+ROUND(E5,3)</f>
        <v>65135.09</v>
      </c>
      <c r="F18" s="5" t="n">
        <f aca="false">+ROUND(F5,3)</f>
        <v>14.199</v>
      </c>
      <c r="G18" s="5" t="n">
        <f aca="false">+ROUND(G5,3)</f>
        <v>2017.283</v>
      </c>
    </row>
    <row r="19" customFormat="false" ht="15" hidden="false" customHeight="false" outlineLevel="0" collapsed="false">
      <c r="A19" s="3" t="s">
        <v>7</v>
      </c>
      <c r="B19" s="5" t="n">
        <f aca="false">+ROUND(B6,3)</f>
        <v>1.26</v>
      </c>
      <c r="C19" s="5" t="n">
        <f aca="false">+ROUND(C6,3)</f>
        <v>2.076</v>
      </c>
      <c r="D19" s="5" t="n">
        <f aca="false">+ROUND(D6,3)</f>
        <v>4.632</v>
      </c>
      <c r="E19" s="5" t="n">
        <f aca="false">+ROUND(E6,3)</f>
        <v>1.544</v>
      </c>
      <c r="F19" s="5" t="n">
        <f aca="false">+ROUND(F6,3)</f>
        <v>1.299</v>
      </c>
      <c r="G19" s="5" t="n">
        <f aca="false">+ROUND(G6,3)</f>
        <v>2.2</v>
      </c>
    </row>
    <row r="20" customFormat="false" ht="15" hidden="false" customHeight="false" outlineLevel="0" collapsed="false">
      <c r="A20" s="3" t="s">
        <v>8</v>
      </c>
      <c r="B20" s="5" t="n">
        <f aca="false">+ROUND(B7,3)</f>
        <v>6.475</v>
      </c>
      <c r="C20" s="5" t="n">
        <f aca="false">+ROUND(C7,3)</f>
        <v>47.929</v>
      </c>
      <c r="D20" s="5" t="n">
        <f aca="false">+ROUND(D7,3)</f>
        <v>3.377</v>
      </c>
      <c r="E20" s="5" t="n">
        <f aca="false">+ROUND(E7,3)</f>
        <v>6.444</v>
      </c>
      <c r="F20" s="5" t="n">
        <f aca="false">+ROUND(F7,3)</f>
        <v>6.439</v>
      </c>
      <c r="G20" s="5" t="n">
        <f aca="false">+ROUND(G7,3)</f>
        <v>47.554</v>
      </c>
    </row>
    <row r="21" customFormat="false" ht="15" hidden="false" customHeight="false" outlineLevel="0" collapsed="false">
      <c r="A21" s="3" t="s">
        <v>9</v>
      </c>
      <c r="B21" s="5" t="n">
        <f aca="false">+ROUND(B8,3)</f>
        <v>3.914</v>
      </c>
      <c r="C21" s="5" t="n">
        <f aca="false">+ROUND(C8,3)</f>
        <v>17.352</v>
      </c>
      <c r="D21" s="5" t="n">
        <f aca="false">+ROUND(D8,3)</f>
        <v>1.244</v>
      </c>
      <c r="E21" s="5" t="n">
        <f aca="false">+ROUND(E8,3)</f>
        <v>0.906</v>
      </c>
      <c r="F21" s="5" t="n">
        <f aca="false">+ROUND(F8,3)</f>
        <v>3.883</v>
      </c>
      <c r="G21" s="5" t="n">
        <f aca="false">+ROUND(G8,3)</f>
        <v>17.242</v>
      </c>
    </row>
    <row r="22" customFormat="false" ht="15" hidden="false" customHeight="false" outlineLevel="0" collapsed="false">
      <c r="A22" s="3" t="s">
        <v>10</v>
      </c>
      <c r="B22" s="5" t="n">
        <f aca="false">+ROUND(B9,3)</f>
        <v>0.037</v>
      </c>
      <c r="C22" s="5" t="n">
        <f aca="false">+ROUND(C9,3)</f>
        <v>0.951</v>
      </c>
      <c r="D22" s="5" t="n">
        <f aca="false">+ROUND(D9,3)</f>
        <v>-1.406</v>
      </c>
      <c r="E22" s="5" t="n">
        <f aca="false">+ROUND(E9,3)</f>
        <v>0.394</v>
      </c>
      <c r="F22" s="5" t="n">
        <f aca="false">+ROUND(F9,3)</f>
        <v>0.02</v>
      </c>
      <c r="G22" s="5" t="n">
        <f aca="false">+ROUND(G9,3)</f>
        <v>0.968</v>
      </c>
    </row>
    <row r="23" customFormat="false" ht="15" hidden="false" customHeight="false" outlineLevel="0" collapsed="false">
      <c r="A23" s="3" t="s">
        <v>11</v>
      </c>
      <c r="B23" s="5" t="n">
        <f aca="false">+ROUND(B10,3)</f>
        <v>0.036</v>
      </c>
      <c r="C23" s="5" t="n">
        <f aca="false">+ROUND(C10,3)</f>
        <v>0.95</v>
      </c>
      <c r="D23" s="5" t="n">
        <f aca="false">+ROUND(D10,3)</f>
        <v>-1.386</v>
      </c>
      <c r="E23" s="5" t="n">
        <f aca="false">+ROUND(E10,3)</f>
        <v>0.305</v>
      </c>
      <c r="F23" s="5" t="n">
        <f aca="false">+ROUND(F10,3)</f>
        <v>0.019</v>
      </c>
      <c r="G23" s="5" t="n">
        <f aca="false">+ROUND(G10,3)</f>
        <v>0.966</v>
      </c>
    </row>
    <row r="24" customFormat="false" ht="15" hidden="false" customHeight="false" outlineLevel="0" collapsed="false">
      <c r="A24" s="3" t="s">
        <v>12</v>
      </c>
      <c r="B24" s="5" t="n">
        <f aca="false">+ROUND(B11,3)</f>
        <v>9.347</v>
      </c>
      <c r="C24" s="5" t="n">
        <f aca="false">+ROUND(C11,3)</f>
        <v>2.305</v>
      </c>
      <c r="D24" s="5" t="n">
        <f aca="false">+ROUND(D11,3)</f>
        <v>12.952</v>
      </c>
      <c r="E24" s="5" t="n">
        <f aca="false">+ROUND(E11,3)</f>
        <v>1.552</v>
      </c>
      <c r="F24" s="5" t="n">
        <f aca="false">+ROUND(F11,3)</f>
        <v>9.389</v>
      </c>
      <c r="G24" s="5" t="n">
        <f aca="false">+ROUND(G11,3)</f>
        <v>2.445</v>
      </c>
    </row>
    <row r="25" customFormat="false" ht="15" hidden="false" customHeight="false" outlineLevel="0" collapsed="false">
      <c r="A25" s="3" t="s">
        <v>16</v>
      </c>
      <c r="B25" s="5" t="n">
        <f aca="false">+ROUND(B12,3)</f>
        <v>3.928</v>
      </c>
      <c r="C25" s="5" t="n">
        <f aca="false">+ROUND(C12,3)</f>
        <v>2.753</v>
      </c>
      <c r="D25" s="5" t="n">
        <f aca="false">+ROUND(D12,3)</f>
        <v>6.248</v>
      </c>
      <c r="E25" s="5" t="n">
        <f aca="false">+ROUND(E12,3)</f>
        <v>3.698</v>
      </c>
      <c r="F25" s="5" t="n">
        <f aca="false">+ROUND(F12,3)</f>
        <v>3.955</v>
      </c>
      <c r="G25" s="5" t="n">
        <f aca="false">+ROUND(G12,3)</f>
        <v>2.824</v>
      </c>
    </row>
    <row r="26" customFormat="false" ht="15" hidden="false" customHeight="false" outlineLevel="0" collapsed="false">
      <c r="A26" s="3" t="s">
        <v>14</v>
      </c>
      <c r="B26" s="5" t="n">
        <f aca="false">+ROUND(B13,3)</f>
        <v>47.736</v>
      </c>
      <c r="C26" s="5" t="n">
        <f aca="false">+ROUND(C13,3)</f>
        <v>73.086</v>
      </c>
      <c r="D26" s="5" t="n">
        <f aca="false">+ROUND(D13,3)</f>
        <v>56.753</v>
      </c>
      <c r="E26" s="5" t="n">
        <f aca="false">+ROUND(E13,3)</f>
        <v>5.041</v>
      </c>
      <c r="F26" s="5" t="n">
        <f aca="false">+ROUND(F13,3)</f>
        <v>47.841</v>
      </c>
      <c r="G26" s="5" t="n">
        <f aca="false">+ROUND(G13,3)</f>
        <v>73.227</v>
      </c>
    </row>
  </sheetData>
  <mergeCells count="7">
    <mergeCell ref="A1:G1"/>
    <mergeCell ref="B3:C3"/>
    <mergeCell ref="D3:E3"/>
    <mergeCell ref="F3:G3"/>
    <mergeCell ref="B16:C16"/>
    <mergeCell ref="D16:E16"/>
    <mergeCell ref="F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H20" activeCellId="0" sqref="H20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140.6463</v>
      </c>
      <c r="E5" s="4" t="n">
        <v>20895.36</v>
      </c>
      <c r="F5" s="4" t="n">
        <v>12.80943</v>
      </c>
      <c r="G5" s="4" t="n">
        <v>1110.044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4.440968</v>
      </c>
      <c r="E6" s="4" t="n">
        <v>1.170426</v>
      </c>
      <c r="F6" s="4" t="n">
        <v>1.278878</v>
      </c>
      <c r="G6" s="4" t="n">
        <v>2.131013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3.942735</v>
      </c>
      <c r="E7" s="4" t="n">
        <v>9.614662</v>
      </c>
      <c r="F7" s="4" t="n">
        <v>6.459618</v>
      </c>
      <c r="G7" s="4" t="n">
        <v>47.73098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1.550392</v>
      </c>
      <c r="E8" s="4" t="n">
        <v>1.429279</v>
      </c>
      <c r="F8" s="4" t="n">
        <v>3.899745</v>
      </c>
      <c r="G8" s="4" t="n">
        <v>17.28826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-1.286142</v>
      </c>
      <c r="E9" s="4" t="n">
        <v>0.3303882</v>
      </c>
      <c r="F9" s="4" t="n">
        <v>0.028646</v>
      </c>
      <c r="G9" s="4" t="n">
        <v>0.9573434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-1.260628</v>
      </c>
      <c r="E10" s="4" t="n">
        <v>0.2835047</v>
      </c>
      <c r="F10" s="4" t="n">
        <v>0.0278826</v>
      </c>
      <c r="G10" s="4" t="n">
        <v>0.9562462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12.70958</v>
      </c>
      <c r="E11" s="4" t="n">
        <v>1.177827</v>
      </c>
      <c r="F11" s="4" t="n">
        <v>9.367669</v>
      </c>
      <c r="G11" s="4" t="n">
        <v>2.365552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5.733824</v>
      </c>
      <c r="E12" s="4" t="n">
        <v>1.146197</v>
      </c>
      <c r="F12" s="4" t="n">
        <v>3.938643</v>
      </c>
      <c r="G12" s="4" t="n">
        <v>2.762506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56.22459</v>
      </c>
      <c r="E13" s="4" t="n">
        <v>5.382648</v>
      </c>
      <c r="F13" s="4" t="n">
        <v>47.7878</v>
      </c>
      <c r="G13" s="4" t="n">
        <v>73.10727</v>
      </c>
    </row>
    <row r="16" customFormat="false" ht="15" hidden="false" customHeight="false" outlineLevel="0" collapsed="false">
      <c r="A16" s="2"/>
      <c r="B16" s="2" t="s">
        <v>1</v>
      </c>
      <c r="C16" s="2"/>
      <c r="D16" s="2" t="s">
        <v>2</v>
      </c>
      <c r="E16" s="2"/>
      <c r="F16" s="2" t="s">
        <v>3</v>
      </c>
      <c r="G16" s="2"/>
    </row>
    <row r="17" customFormat="false" ht="15" hidden="false" customHeight="false" outlineLevel="0" collapsed="false">
      <c r="A17" s="2"/>
      <c r="B17" s="2" t="s">
        <v>4</v>
      </c>
      <c r="C17" s="2" t="s">
        <v>5</v>
      </c>
      <c r="D17" s="2" t="s">
        <v>4</v>
      </c>
      <c r="E17" s="2" t="s">
        <v>5</v>
      </c>
      <c r="F17" s="2" t="s">
        <v>4</v>
      </c>
      <c r="G17" s="2" t="s">
        <v>5</v>
      </c>
    </row>
    <row r="18" customFormat="false" ht="15" hidden="false" customHeight="false" outlineLevel="0" collapsed="false">
      <c r="A18" s="3" t="s">
        <v>6</v>
      </c>
      <c r="B18" s="5" t="n">
        <v>261.106</v>
      </c>
      <c r="C18" s="5" t="n">
        <v>110338.5</v>
      </c>
      <c r="D18" s="5" t="n">
        <v>12.809</v>
      </c>
      <c r="E18" s="5" t="n">
        <v>1110.044</v>
      </c>
      <c r="F18" s="5" t="n">
        <v>14.199</v>
      </c>
      <c r="G18" s="5" t="n">
        <v>2017.283</v>
      </c>
    </row>
    <row r="19" customFormat="false" ht="15" hidden="false" customHeight="false" outlineLevel="0" collapsed="false">
      <c r="A19" s="3" t="s">
        <v>7</v>
      </c>
      <c r="B19" s="5" t="n">
        <v>4.837</v>
      </c>
      <c r="C19" s="5" t="n">
        <v>1.988</v>
      </c>
      <c r="D19" s="5" t="n">
        <v>1.279</v>
      </c>
      <c r="E19" s="5" t="n">
        <v>2.131</v>
      </c>
      <c r="F19" s="5" t="n">
        <v>1.299</v>
      </c>
      <c r="G19" s="5" t="n">
        <v>2.2</v>
      </c>
    </row>
    <row r="20" customFormat="false" ht="15" hidden="false" customHeight="false" outlineLevel="0" collapsed="false">
      <c r="A20" s="3" t="s">
        <v>8</v>
      </c>
      <c r="B20" s="5" t="n">
        <v>2.769</v>
      </c>
      <c r="C20" s="5" t="n">
        <v>2.771</v>
      </c>
      <c r="D20" s="5" t="n">
        <v>6.46</v>
      </c>
      <c r="E20" s="5" t="n">
        <v>47.731</v>
      </c>
      <c r="F20" s="5" t="n">
        <v>6.439</v>
      </c>
      <c r="G20" s="5" t="n">
        <v>47.554</v>
      </c>
    </row>
    <row r="21" customFormat="false" ht="15" hidden="false" customHeight="false" outlineLevel="0" collapsed="false">
      <c r="A21" s="3" t="s">
        <v>9</v>
      </c>
      <c r="B21" s="5" t="n">
        <v>0.914</v>
      </c>
      <c r="C21" s="5" t="n">
        <v>0.187</v>
      </c>
      <c r="D21" s="5" t="n">
        <v>3.9</v>
      </c>
      <c r="E21" s="5" t="n">
        <v>17.288</v>
      </c>
      <c r="F21" s="5" t="n">
        <v>3.883</v>
      </c>
      <c r="G21" s="5" t="n">
        <v>17.242</v>
      </c>
    </row>
    <row r="22" customFormat="false" ht="15" hidden="false" customHeight="false" outlineLevel="0" collapsed="false">
      <c r="A22" s="3" t="s">
        <v>10</v>
      </c>
      <c r="B22" s="5" t="n">
        <v>-1.535</v>
      </c>
      <c r="C22" s="5" t="n">
        <v>0.461</v>
      </c>
      <c r="D22" s="5" t="n">
        <v>0.029</v>
      </c>
      <c r="E22" s="5" t="n">
        <v>0.957</v>
      </c>
      <c r="F22" s="5" t="n">
        <v>0.02</v>
      </c>
      <c r="G22" s="5" t="n">
        <v>0.968</v>
      </c>
    </row>
    <row r="23" customFormat="false" ht="15" hidden="false" customHeight="false" outlineLevel="0" collapsed="false">
      <c r="A23" s="3" t="s">
        <v>11</v>
      </c>
      <c r="B23" s="5" t="n">
        <v>-1.522</v>
      </c>
      <c r="C23" s="5" t="n">
        <v>0.315</v>
      </c>
      <c r="D23" s="5" t="n">
        <v>0.028</v>
      </c>
      <c r="E23" s="5" t="n">
        <v>0.956</v>
      </c>
      <c r="F23" s="5" t="n">
        <v>0.019</v>
      </c>
      <c r="G23" s="5" t="n">
        <v>0.966</v>
      </c>
    </row>
    <row r="24" customFormat="false" ht="15" hidden="false" customHeight="false" outlineLevel="0" collapsed="false">
      <c r="A24" s="3" t="s">
        <v>12</v>
      </c>
      <c r="B24" s="5" t="n">
        <v>13.213</v>
      </c>
      <c r="C24" s="5" t="n">
        <v>1.945</v>
      </c>
      <c r="D24" s="5" t="n">
        <v>9.368</v>
      </c>
      <c r="E24" s="5" t="n">
        <v>2.366</v>
      </c>
      <c r="F24" s="5" t="n">
        <v>9.389</v>
      </c>
      <c r="G24" s="5" t="n">
        <v>2.445</v>
      </c>
    </row>
    <row r="25" customFormat="false" ht="15" hidden="false" customHeight="false" outlineLevel="0" collapsed="false">
      <c r="A25" s="3" t="s">
        <v>13</v>
      </c>
      <c r="B25" s="5" t="n">
        <v>6.802</v>
      </c>
      <c r="C25" s="5" t="n">
        <v>6.13</v>
      </c>
      <c r="D25" s="5" t="n">
        <v>3.939</v>
      </c>
      <c r="E25" s="5" t="n">
        <v>2.763</v>
      </c>
      <c r="F25" s="5" t="n">
        <v>3.955</v>
      </c>
      <c r="G25" s="5" t="n">
        <v>2.824</v>
      </c>
    </row>
    <row r="26" customFormat="false" ht="15" hidden="false" customHeight="false" outlineLevel="0" collapsed="false">
      <c r="A26" s="3" t="s">
        <v>14</v>
      </c>
      <c r="B26" s="5" t="n">
        <v>57.321</v>
      </c>
      <c r="C26" s="5" t="n">
        <v>4.415</v>
      </c>
      <c r="D26" s="5" t="n">
        <v>47.788</v>
      </c>
      <c r="E26" s="5" t="n">
        <v>73.107</v>
      </c>
      <c r="F26" s="5" t="n">
        <v>47.841</v>
      </c>
      <c r="G26" s="5" t="n">
        <v>73.227</v>
      </c>
    </row>
  </sheetData>
  <mergeCells count="7">
    <mergeCell ref="A1:G1"/>
    <mergeCell ref="B3:C3"/>
    <mergeCell ref="D3:E3"/>
    <mergeCell ref="F3:G3"/>
    <mergeCell ref="B16:C16"/>
    <mergeCell ref="D16:E16"/>
    <mergeCell ref="F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144.0652</v>
      </c>
      <c r="E5" s="4" t="n">
        <v>22438.36</v>
      </c>
      <c r="F5" s="4" t="n">
        <v>12.43126</v>
      </c>
      <c r="G5" s="4" t="n">
        <v>1006.758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4.226279</v>
      </c>
      <c r="E6" s="4" t="n">
        <v>2.271495</v>
      </c>
      <c r="F6" s="4" t="n">
        <v>1.268615</v>
      </c>
      <c r="G6" s="4" t="n">
        <v>2.102305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3.268666</v>
      </c>
      <c r="E7" s="4" t="n">
        <v>4.273654</v>
      </c>
      <c r="F7" s="4" t="n">
        <v>6.465219</v>
      </c>
      <c r="G7" s="4" t="n">
        <v>47.82537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0.8926364</v>
      </c>
      <c r="E8" s="4" t="n">
        <v>0.2476522</v>
      </c>
      <c r="F8" s="4" t="n">
        <v>3.904887</v>
      </c>
      <c r="G8" s="4" t="n">
        <v>17.3273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-1.339739</v>
      </c>
      <c r="E9" s="4" t="n">
        <v>0.7413434</v>
      </c>
      <c r="F9" s="4" t="n">
        <v>0.032481</v>
      </c>
      <c r="G9" s="4" t="n">
        <v>0.9554862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-1.358867</v>
      </c>
      <c r="E10" s="4" t="n">
        <v>0.5079836</v>
      </c>
      <c r="F10" s="4" t="n">
        <v>0.0315004</v>
      </c>
      <c r="G10" s="4" t="n">
        <v>0.9546145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12.61702</v>
      </c>
      <c r="E11" s="4" t="n">
        <v>1.918644</v>
      </c>
      <c r="F11" s="4" t="n">
        <v>9.35723</v>
      </c>
      <c r="G11" s="4" t="n">
        <v>2.335169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5.994425</v>
      </c>
      <c r="E12" s="4" t="n">
        <v>9.159499</v>
      </c>
      <c r="F12" s="4" t="n">
        <v>3.933979</v>
      </c>
      <c r="G12" s="4" t="n">
        <v>2.781537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56.82202</v>
      </c>
      <c r="E13" s="4" t="n">
        <v>5.959292</v>
      </c>
      <c r="F13" s="4" t="n">
        <v>47.76398</v>
      </c>
      <c r="G13" s="4" t="n">
        <v>73.12944</v>
      </c>
    </row>
  </sheetData>
  <mergeCells count="4">
    <mergeCell ref="A1:G1"/>
    <mergeCell ref="B3:C3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43" zoomScaleNormal="143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397.6526</v>
      </c>
      <c r="E5" s="4" t="n">
        <v>196334.3</v>
      </c>
      <c r="F5" s="4" t="n">
        <v>13.03504</v>
      </c>
      <c r="G5" s="4" t="n">
        <v>1709.188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5.550158</v>
      </c>
      <c r="E6" s="4" t="n">
        <v>0.9130508</v>
      </c>
      <c r="F6" s="4" t="n">
        <v>1.27078</v>
      </c>
      <c r="G6" s="4" t="n">
        <v>2.120464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2.185224</v>
      </c>
      <c r="E7" s="4" t="n">
        <v>0.7629293</v>
      </c>
      <c r="F7" s="4" t="n">
        <v>6.463784</v>
      </c>
      <c r="G7" s="4" t="n">
        <v>47.85334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0.9381179</v>
      </c>
      <c r="E8" s="4" t="n">
        <v>0.150416</v>
      </c>
      <c r="F8" s="4" t="n">
        <v>3.906314</v>
      </c>
      <c r="G8" s="4" t="n">
        <v>17.32986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-1.762015</v>
      </c>
      <c r="E9" s="4" t="n">
        <v>0.101253</v>
      </c>
      <c r="F9" s="4" t="n">
        <v>0.0319763</v>
      </c>
      <c r="G9" s="4" t="n">
        <v>0.9568573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-1.711896</v>
      </c>
      <c r="E10" s="4" t="n">
        <v>0.0654858</v>
      </c>
      <c r="F10" s="4" t="n">
        <v>0.0311842</v>
      </c>
      <c r="G10" s="4" t="n">
        <v>0.9558916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13.9086</v>
      </c>
      <c r="E11" s="4" t="n">
        <v>1.286876</v>
      </c>
      <c r="F11" s="4" t="n">
        <v>9.35918</v>
      </c>
      <c r="G11" s="4" t="n">
        <v>2.355662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7.744094</v>
      </c>
      <c r="E12" s="4" t="n">
        <v>1.743689</v>
      </c>
      <c r="F12" s="4" t="n">
        <v>3.937644</v>
      </c>
      <c r="G12" s="4" t="n">
        <v>2.787576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57.90404</v>
      </c>
      <c r="E13" s="4" t="n">
        <v>2.688084</v>
      </c>
      <c r="F13" s="4" t="n">
        <v>47.76286</v>
      </c>
      <c r="G13" s="4" t="n">
        <v>73.17003</v>
      </c>
    </row>
  </sheetData>
  <mergeCells count="4">
    <mergeCell ref="A1:G1"/>
    <mergeCell ref="B3:C3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217.7482</v>
      </c>
      <c r="E5" s="4" t="n">
        <v>80564.78</v>
      </c>
      <c r="F5" s="4" t="n">
        <v>13.80643</v>
      </c>
      <c r="G5" s="4" t="n">
        <v>1914.076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4.773725</v>
      </c>
      <c r="E6" s="4" t="n">
        <v>1.313056</v>
      </c>
      <c r="F6" s="4" t="n">
        <v>1.289944</v>
      </c>
      <c r="G6" s="4" t="n">
        <v>2.174623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3.415482</v>
      </c>
      <c r="E7" s="4" t="n">
        <v>7.462021</v>
      </c>
      <c r="F7" s="4" t="n">
        <v>6.448544</v>
      </c>
      <c r="G7" s="4" t="n">
        <v>47.65615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1.366709</v>
      </c>
      <c r="E8" s="4" t="n">
        <v>1.100379</v>
      </c>
      <c r="F8" s="4" t="n">
        <v>3.892072</v>
      </c>
      <c r="G8" s="4" t="n">
        <v>17.26645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-1.428904</v>
      </c>
      <c r="E9" s="4" t="n">
        <v>0.3027592</v>
      </c>
      <c r="F9" s="4" t="n">
        <v>0.024005</v>
      </c>
      <c r="G9" s="4" t="n">
        <v>0.9633724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-1.396009</v>
      </c>
      <c r="E10" s="4" t="n">
        <v>0.2562258</v>
      </c>
      <c r="F10" s="4" t="n">
        <v>0.0233754</v>
      </c>
      <c r="G10" s="4" t="n">
        <v>0.9617338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13.06928</v>
      </c>
      <c r="E11" s="4" t="n">
        <v>1.462333</v>
      </c>
      <c r="F11" s="4" t="n">
        <v>9.379433</v>
      </c>
      <c r="G11" s="4" t="n">
        <v>2.415504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6.336905</v>
      </c>
      <c r="E12" s="4" t="n">
        <v>2.13642</v>
      </c>
      <c r="F12" s="4" t="n">
        <v>3.948502</v>
      </c>
      <c r="G12" s="4" t="n">
        <v>2.796548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56.72843</v>
      </c>
      <c r="E13" s="4" t="n">
        <v>5.013747</v>
      </c>
      <c r="F13" s="4" t="n">
        <v>47.81401</v>
      </c>
      <c r="G13" s="4" t="n">
        <v>73.18815</v>
      </c>
    </row>
  </sheetData>
  <mergeCells count="4">
    <mergeCell ref="A1:G1"/>
    <mergeCell ref="B3:C3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5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/>
      <c r="B3" s="2" t="s">
        <v>1</v>
      </c>
      <c r="C3" s="2"/>
      <c r="D3" s="2" t="s">
        <v>2</v>
      </c>
      <c r="E3" s="2"/>
      <c r="F3" s="2" t="s">
        <v>3</v>
      </c>
      <c r="G3" s="2"/>
    </row>
    <row r="4" customFormat="false" ht="15" hidden="false" customHeight="false" outlineLevel="0" collapsed="false">
      <c r="A4" s="2"/>
      <c r="B4" s="2" t="s">
        <v>4</v>
      </c>
      <c r="C4" s="2" t="s">
        <v>5</v>
      </c>
      <c r="D4" s="2" t="s">
        <v>4</v>
      </c>
      <c r="E4" s="2" t="s">
        <v>5</v>
      </c>
      <c r="F4" s="2" t="s">
        <v>4</v>
      </c>
      <c r="G4" s="2" t="s">
        <v>5</v>
      </c>
    </row>
    <row r="5" customFormat="false" ht="15" hidden="false" customHeight="false" outlineLevel="0" collapsed="false">
      <c r="A5" s="3" t="s">
        <v>6</v>
      </c>
      <c r="B5" s="4" t="n">
        <v>12.02994</v>
      </c>
      <c r="C5" s="4" t="n">
        <v>898.155</v>
      </c>
      <c r="D5" s="4" t="n">
        <v>144.0652</v>
      </c>
      <c r="E5" s="4" t="n">
        <v>22438.36</v>
      </c>
      <c r="F5" s="4" t="n">
        <v>12.43126</v>
      </c>
      <c r="G5" s="4" t="n">
        <v>1006.758</v>
      </c>
    </row>
    <row r="6" customFormat="false" ht="15" hidden="false" customHeight="false" outlineLevel="0" collapsed="false">
      <c r="A6" s="3" t="s">
        <v>7</v>
      </c>
      <c r="B6" s="4" t="n">
        <v>1.259597</v>
      </c>
      <c r="C6" s="4" t="n">
        <v>2.076016</v>
      </c>
      <c r="D6" s="4" t="n">
        <v>4.226279</v>
      </c>
      <c r="E6" s="4" t="n">
        <v>2.271495</v>
      </c>
      <c r="F6" s="4" t="n">
        <v>1.268615</v>
      </c>
      <c r="G6" s="4" t="n">
        <v>2.102305</v>
      </c>
    </row>
    <row r="7" customFormat="false" ht="15" hidden="false" customHeight="false" outlineLevel="0" collapsed="false">
      <c r="A7" s="3" t="s">
        <v>8</v>
      </c>
      <c r="B7" s="4" t="n">
        <v>6.474964</v>
      </c>
      <c r="C7" s="4" t="n">
        <v>47.9288</v>
      </c>
      <c r="D7" s="4" t="n">
        <v>3.268666</v>
      </c>
      <c r="E7" s="4" t="n">
        <v>4.273654</v>
      </c>
      <c r="F7" s="4" t="n">
        <v>6.465219</v>
      </c>
      <c r="G7" s="4" t="n">
        <v>47.82537</v>
      </c>
    </row>
    <row r="8" customFormat="false" ht="15" hidden="false" customHeight="false" outlineLevel="0" collapsed="false">
      <c r="A8" s="3" t="s">
        <v>9</v>
      </c>
      <c r="B8" s="4" t="n">
        <v>3.91407</v>
      </c>
      <c r="C8" s="4" t="n">
        <v>17.35175</v>
      </c>
      <c r="D8" s="4" t="n">
        <v>0.8926364</v>
      </c>
      <c r="E8" s="4" t="n">
        <v>0.2476522</v>
      </c>
      <c r="F8" s="4" t="n">
        <v>3.904887</v>
      </c>
      <c r="G8" s="4" t="n">
        <v>17.3273</v>
      </c>
    </row>
    <row r="9" customFormat="false" ht="15" hidden="false" customHeight="false" outlineLevel="0" collapsed="false">
      <c r="A9" s="3" t="s">
        <v>10</v>
      </c>
      <c r="B9" s="4" t="n">
        <v>0.0366665</v>
      </c>
      <c r="C9" s="4" t="n">
        <v>0.9506994</v>
      </c>
      <c r="D9" s="4" t="n">
        <v>-1.339739</v>
      </c>
      <c r="E9" s="4" t="n">
        <v>0.7413434</v>
      </c>
      <c r="F9" s="4" t="n">
        <v>0.032481</v>
      </c>
      <c r="G9" s="4" t="n">
        <v>0.9554862</v>
      </c>
    </row>
    <row r="10" customFormat="false" ht="15" hidden="false" customHeight="false" outlineLevel="0" collapsed="false">
      <c r="A10" s="3" t="s">
        <v>11</v>
      </c>
      <c r="B10" s="4" t="n">
        <v>0.0357393</v>
      </c>
      <c r="C10" s="4" t="n">
        <v>0.9502839</v>
      </c>
      <c r="D10" s="4" t="n">
        <v>-1.358867</v>
      </c>
      <c r="E10" s="4" t="n">
        <v>0.5079836</v>
      </c>
      <c r="F10" s="4" t="n">
        <v>0.0315004</v>
      </c>
      <c r="G10" s="4" t="n">
        <v>0.9546145</v>
      </c>
    </row>
    <row r="11" customFormat="false" ht="15" hidden="false" customHeight="false" outlineLevel="0" collapsed="false">
      <c r="A11" s="3" t="s">
        <v>12</v>
      </c>
      <c r="B11" s="4" t="n">
        <v>9.347292</v>
      </c>
      <c r="C11" s="4" t="n">
        <v>2.304765</v>
      </c>
      <c r="D11" s="4" t="n">
        <v>12.61702</v>
      </c>
      <c r="E11" s="4" t="n">
        <v>1.918644</v>
      </c>
      <c r="F11" s="4" t="n">
        <v>9.35723</v>
      </c>
      <c r="G11" s="4" t="n">
        <v>2.335169</v>
      </c>
    </row>
    <row r="12" customFormat="false" ht="15" hidden="false" customHeight="false" outlineLevel="0" collapsed="false">
      <c r="A12" s="3" t="s">
        <v>13</v>
      </c>
      <c r="B12" s="4" t="n">
        <v>3.927697</v>
      </c>
      <c r="C12" s="4" t="n">
        <v>2.753086</v>
      </c>
      <c r="D12" s="4" t="n">
        <v>5.994425</v>
      </c>
      <c r="E12" s="4" t="n">
        <v>9.159499</v>
      </c>
      <c r="F12" s="4" t="n">
        <v>3.933979</v>
      </c>
      <c r="G12" s="4" t="n">
        <v>2.781537</v>
      </c>
    </row>
    <row r="13" customFormat="false" ht="15" hidden="false" customHeight="false" outlineLevel="0" collapsed="false">
      <c r="A13" s="3" t="s">
        <v>14</v>
      </c>
      <c r="B13" s="4" t="n">
        <v>47.73636</v>
      </c>
      <c r="C13" s="4" t="n">
        <v>73.08589</v>
      </c>
      <c r="D13" s="4" t="n">
        <v>56.82202</v>
      </c>
      <c r="E13" s="4" t="n">
        <v>5.959292</v>
      </c>
      <c r="F13" s="4" t="n">
        <v>47.76398</v>
      </c>
      <c r="G13" s="4" t="n">
        <v>73.12944</v>
      </c>
    </row>
  </sheetData>
  <mergeCells count="4">
    <mergeCell ref="A1:G1"/>
    <mergeCell ref="B3:C3"/>
    <mergeCell ref="D3:E3"/>
    <mergeCell ref="F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2"/>
    <col collapsed="false" customWidth="true" hidden="false" outlineLevel="0" max="14" min="14" style="0" width="10.66"/>
  </cols>
  <sheetData>
    <row r="1" customFormat="false" ht="15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/>
      <c r="B3" s="2" t="s">
        <v>4</v>
      </c>
      <c r="C3" s="2" t="s">
        <v>23</v>
      </c>
      <c r="D3" s="2" t="s">
        <v>24</v>
      </c>
      <c r="E3" s="2" t="s">
        <v>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A4" s="3" t="s">
        <v>32</v>
      </c>
      <c r="B4" s="4" t="n">
        <v>0.0232458</v>
      </c>
      <c r="C4" s="4" t="n">
        <v>0.0052688</v>
      </c>
      <c r="D4" s="4" t="n">
        <v>7.519736</v>
      </c>
      <c r="E4" s="4" t="n">
        <v>0.0371924</v>
      </c>
      <c r="F4" s="4" t="n">
        <v>0.0052688</v>
      </c>
      <c r="G4" s="4" t="n">
        <v>0.005269</v>
      </c>
      <c r="H4" s="4" t="n">
        <v>0.0052693</v>
      </c>
      <c r="I4" s="4" t="n">
        <v>0.005346</v>
      </c>
      <c r="J4" s="4" t="n">
        <v>0.0096179</v>
      </c>
      <c r="K4" s="4" t="n">
        <v>0.0161557</v>
      </c>
      <c r="L4" s="4" t="n">
        <v>1</v>
      </c>
    </row>
    <row r="5" customFormat="false" ht="15" hidden="false" customHeight="false" outlineLevel="0" collapsed="false">
      <c r="A5" s="3" t="s">
        <v>33</v>
      </c>
      <c r="B5" s="4" t="n">
        <v>0.0232458</v>
      </c>
      <c r="C5" s="4" t="n">
        <v>4.75E-012</v>
      </c>
      <c r="D5" s="4" t="n">
        <v>2.519256</v>
      </c>
      <c r="E5" s="4" t="n">
        <v>0.0193006</v>
      </c>
      <c r="F5" s="4" t="n">
        <v>5.93E-010</v>
      </c>
      <c r="G5" s="4" t="n">
        <v>1.45E-008</v>
      </c>
      <c r="H5" s="4" t="n">
        <v>1.08E-007</v>
      </c>
      <c r="I5" s="4" t="n">
        <v>0.0001221</v>
      </c>
      <c r="J5" s="4" t="n">
        <v>0.0107196</v>
      </c>
      <c r="K5" s="4" t="n">
        <v>0.0420232</v>
      </c>
      <c r="L5" s="4" t="n">
        <v>1</v>
      </c>
    </row>
    <row r="6" customFormat="false" ht="15" hidden="false" customHeight="false" outlineLevel="0" collapsed="false">
      <c r="A6" s="3" t="s">
        <v>34</v>
      </c>
      <c r="B6" s="4" t="n">
        <v>0.0232558</v>
      </c>
      <c r="C6" s="4" t="n">
        <v>1.25E-038</v>
      </c>
      <c r="D6" s="4" t="n">
        <v>2.929051</v>
      </c>
      <c r="E6" s="4" t="n">
        <v>0.0200319</v>
      </c>
      <c r="F6" s="4" t="n">
        <v>2.46E-024</v>
      </c>
      <c r="G6" s="4" t="n">
        <v>1.17E-016</v>
      </c>
      <c r="H6" s="4" t="n">
        <v>3.59E-013</v>
      </c>
      <c r="I6" s="4" t="n">
        <v>1.7E-005</v>
      </c>
      <c r="J6" s="4" t="n">
        <v>0.0098987</v>
      </c>
      <c r="K6" s="4" t="n">
        <v>0.0435993</v>
      </c>
      <c r="L6" s="4" t="n">
        <v>1</v>
      </c>
    </row>
    <row r="7" customFormat="false" ht="15" hidden="false" customHeight="false" outlineLevel="0" collapsed="false">
      <c r="A7" s="3" t="s">
        <v>35</v>
      </c>
      <c r="B7" s="4" t="n">
        <v>0.0232458</v>
      </c>
      <c r="C7" s="4" t="n">
        <v>2.43E-043</v>
      </c>
      <c r="D7" s="4" t="n">
        <v>2.836462</v>
      </c>
      <c r="E7" s="4" t="n">
        <v>0.0199985</v>
      </c>
      <c r="F7" s="4" t="n">
        <v>2.04E-026</v>
      </c>
      <c r="G7" s="4" t="n">
        <v>4.5E-017</v>
      </c>
      <c r="H7" s="4" t="n">
        <v>5.97E-013</v>
      </c>
      <c r="I7" s="4" t="n">
        <v>2.48E-005</v>
      </c>
      <c r="J7" s="4" t="n">
        <v>0.007466</v>
      </c>
      <c r="K7" s="4" t="n">
        <v>0.0366843</v>
      </c>
      <c r="L7" s="4" t="n">
        <v>1</v>
      </c>
    </row>
    <row r="9" customFormat="false" ht="15" hidden="false" customHeight="false" outlineLevel="0" collapsed="false">
      <c r="A9" s="2"/>
      <c r="B9" s="2" t="s">
        <v>4</v>
      </c>
      <c r="C9" s="2" t="s">
        <v>23</v>
      </c>
      <c r="D9" s="2" t="s">
        <v>24</v>
      </c>
      <c r="E9" s="2" t="s">
        <v>5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31</v>
      </c>
      <c r="N9" s="4" t="s">
        <v>36</v>
      </c>
    </row>
    <row r="10" customFormat="false" ht="15" hidden="false" customHeight="false" outlineLevel="0" collapsed="false">
      <c r="A10" s="3" t="s">
        <v>32</v>
      </c>
      <c r="B10" s="5" t="n">
        <v>0.023</v>
      </c>
      <c r="C10" s="5" t="n">
        <v>0.005</v>
      </c>
      <c r="D10" s="5" t="n">
        <v>7.52</v>
      </c>
      <c r="E10" s="5" t="n">
        <v>0.037</v>
      </c>
      <c r="F10" s="5" t="n">
        <v>0.005</v>
      </c>
      <c r="G10" s="5" t="n">
        <v>0.005</v>
      </c>
      <c r="H10" s="5" t="n">
        <v>0.005</v>
      </c>
      <c r="I10" s="5" t="n">
        <v>0.005</v>
      </c>
      <c r="J10" s="5" t="n">
        <v>0.01</v>
      </c>
      <c r="K10" s="5" t="n">
        <v>0.016</v>
      </c>
      <c r="L10" s="5" t="n">
        <v>1</v>
      </c>
    </row>
    <row r="11" customFormat="false" ht="15" hidden="false" customHeight="false" outlineLevel="0" collapsed="false">
      <c r="A11" s="3" t="s">
        <v>33</v>
      </c>
      <c r="B11" s="5" t="n">
        <v>0.023</v>
      </c>
      <c r="C11" s="5" t="n">
        <v>0</v>
      </c>
      <c r="D11" s="5" t="n">
        <v>2.519</v>
      </c>
      <c r="E11" s="5" t="n">
        <v>0.019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0.011</v>
      </c>
      <c r="K11" s="5" t="n">
        <v>0.042</v>
      </c>
      <c r="L11" s="5" t="n">
        <v>1</v>
      </c>
    </row>
    <row r="12" customFormat="false" ht="15" hidden="false" customHeight="false" outlineLevel="0" collapsed="false">
      <c r="A12" s="3" t="s">
        <v>34</v>
      </c>
      <c r="B12" s="5" t="n">
        <v>0.023</v>
      </c>
      <c r="C12" s="5" t="n">
        <v>0</v>
      </c>
      <c r="D12" s="5" t="n">
        <v>2.929</v>
      </c>
      <c r="E12" s="5" t="n">
        <v>0.02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0.01</v>
      </c>
      <c r="K12" s="5" t="n">
        <v>0.044</v>
      </c>
      <c r="L12" s="5" t="n">
        <v>1</v>
      </c>
    </row>
    <row r="13" customFormat="false" ht="15" hidden="false" customHeight="false" outlineLevel="0" collapsed="false">
      <c r="A13" s="3" t="s">
        <v>35</v>
      </c>
      <c r="B13" s="5" t="n">
        <v>0.023</v>
      </c>
      <c r="C13" s="5" t="n">
        <v>0</v>
      </c>
      <c r="D13" s="5" t="n">
        <v>2.836</v>
      </c>
      <c r="E13" s="5" t="n">
        <v>0.02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0.007</v>
      </c>
      <c r="K13" s="5" t="n">
        <v>0.037</v>
      </c>
      <c r="L13" s="5" t="n">
        <v>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6" activeCellId="0" sqref="N6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2"/>
  </cols>
  <sheetData>
    <row r="1" customFormat="false" ht="15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/>
      <c r="B3" s="2" t="s">
        <v>4</v>
      </c>
      <c r="C3" s="2" t="s">
        <v>23</v>
      </c>
      <c r="D3" s="2" t="s">
        <v>24</v>
      </c>
      <c r="E3" s="2" t="s">
        <v>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A4" s="3" t="s">
        <v>38</v>
      </c>
      <c r="B4" s="4" t="n">
        <v>0.0154972</v>
      </c>
      <c r="C4" s="4" t="n">
        <v>0.00181</v>
      </c>
      <c r="D4" s="4" t="n">
        <v>2.629345</v>
      </c>
      <c r="E4" s="4" t="n">
        <v>0.0145248</v>
      </c>
      <c r="F4" s="4" t="n">
        <v>0.00181</v>
      </c>
      <c r="G4" s="4" t="n">
        <v>0.0018101</v>
      </c>
      <c r="H4" s="4" t="n">
        <v>0.0018102</v>
      </c>
      <c r="I4" s="4" t="n">
        <v>0.0018346</v>
      </c>
      <c r="J4" s="4" t="n">
        <v>0.0031677</v>
      </c>
      <c r="K4" s="4" t="n">
        <v>0.0051464</v>
      </c>
      <c r="L4" s="4" t="n">
        <v>1</v>
      </c>
    </row>
    <row r="6" customFormat="false" ht="15" hidden="false" customHeight="false" outlineLevel="0" collapsed="false">
      <c r="A6" s="2"/>
      <c r="B6" s="2" t="s">
        <v>4</v>
      </c>
      <c r="C6" s="2" t="s">
        <v>23</v>
      </c>
      <c r="D6" s="2" t="s">
        <v>24</v>
      </c>
      <c r="E6" s="2" t="s">
        <v>5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31</v>
      </c>
      <c r="N6" s="4" t="s">
        <v>36</v>
      </c>
    </row>
    <row r="7" customFormat="false" ht="15" hidden="false" customHeight="false" outlineLevel="0" collapsed="false">
      <c r="A7" s="3" t="s">
        <v>38</v>
      </c>
      <c r="B7" s="5" t="n">
        <v>0.015</v>
      </c>
      <c r="C7" s="5" t="n">
        <v>0.002</v>
      </c>
      <c r="D7" s="5" t="n">
        <v>2.629</v>
      </c>
      <c r="E7" s="5" t="n">
        <v>0.015</v>
      </c>
      <c r="F7" s="5" t="n">
        <v>0.002</v>
      </c>
      <c r="G7" s="5" t="n">
        <v>0.002</v>
      </c>
      <c r="H7" s="5" t="n">
        <v>0.002</v>
      </c>
      <c r="I7" s="5" t="n">
        <v>0.002</v>
      </c>
      <c r="J7" s="5" t="n">
        <v>0.003</v>
      </c>
      <c r="K7" s="5" t="n">
        <v>0.005</v>
      </c>
      <c r="L7" s="5" t="n">
        <v>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2"/>
  </cols>
  <sheetData>
    <row r="1" customFormat="false" ht="15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/>
      <c r="B3" s="2" t="s">
        <v>4</v>
      </c>
      <c r="C3" s="2" t="s">
        <v>23</v>
      </c>
      <c r="D3" s="2" t="s">
        <v>24</v>
      </c>
      <c r="E3" s="2" t="s">
        <v>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A4" s="3" t="s">
        <v>40</v>
      </c>
      <c r="B4" s="4" t="n">
        <v>0.0174344</v>
      </c>
      <c r="C4" s="4" t="n">
        <v>0.0026454</v>
      </c>
      <c r="D4" s="4" t="n">
        <v>3.7702</v>
      </c>
      <c r="E4" s="4" t="n">
        <v>0.017877</v>
      </c>
      <c r="F4" s="4" t="n">
        <v>0.0026454</v>
      </c>
      <c r="G4" s="4" t="n">
        <v>0.0026455</v>
      </c>
      <c r="H4" s="4" t="n">
        <v>0.0026456</v>
      </c>
      <c r="I4" s="4" t="n">
        <v>0.0026838</v>
      </c>
      <c r="J4" s="4" t="n">
        <v>0.0048033</v>
      </c>
      <c r="K4" s="4" t="n">
        <v>0.0080381</v>
      </c>
      <c r="L4" s="4" t="n">
        <v>1</v>
      </c>
    </row>
    <row r="5" customFormat="false" ht="15" hidden="false" customHeight="false" outlineLevel="0" collapsed="false">
      <c r="A5" s="3" t="s">
        <v>41</v>
      </c>
      <c r="B5" s="4" t="n">
        <v>0.0174344</v>
      </c>
      <c r="C5" s="4" t="n">
        <v>2.63E-011</v>
      </c>
      <c r="D5" s="4" t="n">
        <v>1.179001</v>
      </c>
      <c r="E5" s="4" t="n">
        <v>0.013289</v>
      </c>
      <c r="F5" s="4" t="n">
        <v>1.77E-009</v>
      </c>
      <c r="G5" s="4" t="n">
        <v>2.14E-008</v>
      </c>
      <c r="H5" s="4" t="n">
        <v>1.13E-007</v>
      </c>
      <c r="I5" s="4" t="n">
        <v>4.81E-005</v>
      </c>
      <c r="J5" s="4" t="n">
        <v>0.0043736</v>
      </c>
      <c r="K5" s="4" t="n">
        <v>0.018992</v>
      </c>
      <c r="L5" s="4" t="n">
        <v>1</v>
      </c>
    </row>
    <row r="6" customFormat="false" ht="15" hidden="false" customHeight="false" outlineLevel="0" collapsed="false">
      <c r="A6" s="3" t="s">
        <v>42</v>
      </c>
      <c r="B6" s="4" t="n">
        <v>0.0174419</v>
      </c>
      <c r="C6" s="4" t="n">
        <v>9.06E-016</v>
      </c>
      <c r="D6" s="4" t="n">
        <v>1.58262</v>
      </c>
      <c r="E6" s="4" t="n">
        <v>0.0132511</v>
      </c>
      <c r="F6" s="4" t="n">
        <v>1.89E-009</v>
      </c>
      <c r="G6" s="4" t="n">
        <v>1.38E-007</v>
      </c>
      <c r="H6" s="4" t="n">
        <v>7.48E-007</v>
      </c>
      <c r="I6" s="4" t="n">
        <v>8.32E-005</v>
      </c>
      <c r="J6" s="4" t="n">
        <v>0.0060031</v>
      </c>
      <c r="K6" s="4" t="n">
        <v>0.0247901</v>
      </c>
      <c r="L6" s="4" t="n">
        <v>1</v>
      </c>
    </row>
    <row r="7" customFormat="false" ht="15" hidden="false" customHeight="false" outlineLevel="0" collapsed="false">
      <c r="A7" s="3" t="s">
        <v>43</v>
      </c>
      <c r="B7" s="4" t="n">
        <v>0.0174344</v>
      </c>
      <c r="C7" s="4" t="n">
        <v>3.11E-014</v>
      </c>
      <c r="D7" s="4" t="n">
        <v>1.259799</v>
      </c>
      <c r="E7" s="4" t="n">
        <v>0.0130305</v>
      </c>
      <c r="F7" s="4" t="n">
        <v>6.41E-009</v>
      </c>
      <c r="G7" s="4" t="n">
        <v>1.63E-007</v>
      </c>
      <c r="H7" s="4" t="n">
        <v>8.26E-007</v>
      </c>
      <c r="I7" s="4" t="n">
        <v>7.21E-005</v>
      </c>
      <c r="J7" s="4" t="n">
        <v>0.0047149</v>
      </c>
      <c r="K7" s="4" t="n">
        <v>0.0212802</v>
      </c>
      <c r="L7" s="4" t="n">
        <v>1</v>
      </c>
    </row>
    <row r="10" customFormat="false" ht="15" hidden="false" customHeight="false" outlineLevel="0" collapsed="false">
      <c r="A10" s="2"/>
      <c r="B10" s="2" t="s">
        <v>4</v>
      </c>
      <c r="C10" s="2" t="s">
        <v>23</v>
      </c>
      <c r="D10" s="2" t="s">
        <v>24</v>
      </c>
      <c r="E10" s="2" t="s">
        <v>5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29</v>
      </c>
      <c r="K10" s="2" t="s">
        <v>30</v>
      </c>
      <c r="L10" s="2" t="s">
        <v>31</v>
      </c>
      <c r="N10" s="4" t="s">
        <v>36</v>
      </c>
    </row>
    <row r="11" customFormat="false" ht="15" hidden="false" customHeight="false" outlineLevel="0" collapsed="false">
      <c r="A11" s="3" t="s">
        <v>40</v>
      </c>
      <c r="B11" s="5" t="n">
        <v>0.017</v>
      </c>
      <c r="C11" s="5" t="n">
        <v>0.003</v>
      </c>
      <c r="D11" s="5" t="n">
        <v>3.77</v>
      </c>
      <c r="E11" s="5" t="n">
        <v>0.018</v>
      </c>
      <c r="F11" s="5" t="n">
        <v>0.003</v>
      </c>
      <c r="G11" s="5" t="n">
        <v>0.003</v>
      </c>
      <c r="H11" s="5" t="n">
        <v>0.003</v>
      </c>
      <c r="I11" s="5" t="n">
        <v>0.003</v>
      </c>
      <c r="J11" s="5" t="n">
        <v>0.005</v>
      </c>
      <c r="K11" s="5" t="n">
        <v>0.008</v>
      </c>
      <c r="L11" s="5" t="n">
        <v>1</v>
      </c>
    </row>
    <row r="12" customFormat="false" ht="15" hidden="false" customHeight="false" outlineLevel="0" collapsed="false">
      <c r="A12" s="3" t="s">
        <v>41</v>
      </c>
      <c r="B12" s="5" t="n">
        <v>0.017</v>
      </c>
      <c r="C12" s="5" t="n">
        <v>0</v>
      </c>
      <c r="D12" s="5" t="n">
        <v>1.179</v>
      </c>
      <c r="E12" s="5" t="n">
        <v>0.013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0.004</v>
      </c>
      <c r="K12" s="5" t="n">
        <v>0.019</v>
      </c>
      <c r="L12" s="5" t="n">
        <v>1</v>
      </c>
    </row>
    <row r="13" customFormat="false" ht="15" hidden="false" customHeight="false" outlineLevel="0" collapsed="false">
      <c r="A13" s="3" t="s">
        <v>42</v>
      </c>
      <c r="B13" s="5" t="n">
        <v>0.017</v>
      </c>
      <c r="C13" s="5" t="n">
        <v>0</v>
      </c>
      <c r="D13" s="5" t="n">
        <v>1.583</v>
      </c>
      <c r="E13" s="5" t="n">
        <v>0.013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0.006</v>
      </c>
      <c r="K13" s="5" t="n">
        <v>0.025</v>
      </c>
      <c r="L13" s="5" t="n">
        <v>1</v>
      </c>
    </row>
    <row r="14" customFormat="false" ht="15" hidden="false" customHeight="false" outlineLevel="0" collapsed="false">
      <c r="A14" s="3" t="s">
        <v>43</v>
      </c>
      <c r="B14" s="5" t="n">
        <v>0.017</v>
      </c>
      <c r="C14" s="5" t="n">
        <v>0</v>
      </c>
      <c r="D14" s="5" t="n">
        <v>1.26</v>
      </c>
      <c r="E14" s="5" t="n">
        <v>0.013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0.005</v>
      </c>
      <c r="K14" s="5" t="n">
        <v>0.021</v>
      </c>
      <c r="L14" s="5" t="n">
        <v>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2026-04-28T18:44:32Z</dcterms:created>
  <dc:creator>openpyxl</dc:creator>
  <dc:description/>
  <dc:language>en-US</dc:language>
  <cp:lastModifiedBy>Florencia ruiz</cp:lastModifiedBy>
  <dcterms:modified xsi:type="dcterms:W3CDTF">2026-04-28T19:21:12Z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